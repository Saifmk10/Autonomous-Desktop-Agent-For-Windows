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LANGCHAIN_EXPLORATION\Autonomous-Desktop-Agent-For-Windows\"/>
    </mc:Choice>
  </mc:AlternateContent>
  <xr:revisionPtr revIDLastSave="0" documentId="13_ncr:1_{96C57CB1-F2F1-4F6F-B3C8-03E5F4E40EE2}" xr6:coauthVersionLast="47" xr6:coauthVersionMax="47" xr10:uidLastSave="{00000000-0000-0000-0000-000000000000}"/>
  <bookViews>
    <workbookView xWindow="3684" yWindow="2532" windowWidth="17280" windowHeight="9420" xr2:uid="{00000000-000D-0000-FFFF-FFFF00000000}"/>
  </bookViews>
  <sheets>
    <sheet name="Sheet1" sheetId="1" r:id="rId1"/>
    <sheet name="Executiv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  <c r="C5" i="2"/>
  <c r="C4" i="2"/>
  <c r="C3" i="2"/>
  <c r="C2" i="2"/>
  <c r="G35" i="1"/>
  <c r="F35" i="1"/>
  <c r="H35" i="1"/>
  <c r="I35" i="1"/>
  <c r="J35" i="1"/>
  <c r="K35" i="1"/>
  <c r="L35" i="1"/>
  <c r="E35" i="1"/>
  <c r="D35" i="1"/>
  <c r="D1048576" i="1" s="1"/>
  <c r="M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saif</author>
  </authors>
  <commentList>
    <comment ref="D3" authorId="0" shapeId="0" xr:uid="{31C7BCAE-3DF7-4C34-A438-85DF8A1952EC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azure</t>
        </r>
      </text>
    </comment>
    <comment ref="E4" authorId="0" shapeId="0" xr:uid="{53399C63-72B0-4055-95A8-600F4369E141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headphones</t>
        </r>
      </text>
    </comment>
    <comment ref="D5" authorId="0" shapeId="0" xr:uid="{7D4C5C28-3834-42E8-AF79-83483733BD50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RECHARGE
</t>
        </r>
      </text>
    </comment>
    <comment ref="F5" authorId="0" shapeId="0" xr:uid="{647B08C3-003D-4D28-AAD5-8629A81CFB19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donation</t>
        </r>
      </text>
    </comment>
    <comment ref="G5" authorId="0" shapeId="0" xr:uid="{18C53F49-F7A8-46E9-BDFF-2DFC25F39CD6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biryani &amp; coke</t>
        </r>
      </text>
    </comment>
    <comment ref="H5" authorId="0" shapeId="0" xr:uid="{AAC6BE89-C6E7-4789-A6D1-2DC0CF930EC6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mutual fund</t>
        </r>
      </text>
    </comment>
    <comment ref="J6" authorId="0" shapeId="0" xr:uid="{3FD507FE-2BF8-4E5C-A636-E5FF71697DB5}">
      <text>
        <r>
          <rPr>
            <b/>
            <sz val="9"/>
            <color indexed="81"/>
            <rFont val="Tahoma"/>
            <family val="2"/>
          </rPr>
          <t xml:space="preserve">saif:grad clothes 
</t>
        </r>
      </text>
    </comment>
    <comment ref="I7" authorId="0" shapeId="0" xr:uid="{AF37CB25-AEA5-4C7E-B578-DA8BAFB8462C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football</t>
        </r>
      </text>
    </comment>
    <comment ref="G8" authorId="0" shapeId="0" xr:uid="{9EA478D0-E6E0-4F51-9C07-835F535287D5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pani-puri &amp; chips</t>
        </r>
      </text>
    </comment>
    <comment ref="I8" authorId="0" shapeId="0" xr:uid="{E0A1765D-CC79-46F6-A2A7-5F098D2C6FE9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facewash</t>
        </r>
      </text>
    </comment>
    <comment ref="K9" authorId="0" shapeId="0" xr:uid="{6F73049F-A781-43C5-BF56-F93597056C69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rapido , metro
</t>
        </r>
      </text>
    </comment>
    <comment ref="E10" authorId="0" shapeId="0" xr:uid="{0AEDA979-4A81-4258-A9E8-AB76039A85B0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CHARGIN EXTENDER</t>
        </r>
      </text>
    </comment>
    <comment ref="G10" authorId="0" shapeId="0" xr:uid="{C0059563-9EF9-444B-A9CA-8B7609293A99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CC</t>
        </r>
      </text>
    </comment>
    <comment ref="I10" authorId="0" shapeId="0" xr:uid="{C8DCF0B0-B888-40E4-A6C7-1968DB91A8DD}">
      <text>
        <r>
          <rPr>
            <b/>
            <sz val="9"/>
            <color indexed="81"/>
            <rFont val="Tahoma"/>
            <family val="2"/>
          </rPr>
          <t>saif:</t>
        </r>
        <r>
          <rPr>
            <sz val="9"/>
            <color indexed="81"/>
            <rFont val="Tahoma"/>
            <family val="2"/>
          </rPr>
          <t xml:space="preserve">
FOOTABLL *2</t>
        </r>
      </text>
    </comment>
    <comment ref="D19" authorId="0" shapeId="0" xr:uid="{7C931F91-2566-4242-B3E7-C5732E48C854}">
      <text>
        <r>
          <rPr>
            <b/>
            <sz val="9"/>
            <color indexed="81"/>
            <rFont val="Tahoma"/>
            <charset val="1"/>
          </rPr>
          <t>saif:</t>
        </r>
        <r>
          <rPr>
            <sz val="9"/>
            <color indexed="81"/>
            <rFont val="Tahoma"/>
            <charset val="1"/>
          </rPr>
          <t xml:space="preserve">
1k token , 299 spotify</t>
        </r>
      </text>
    </comment>
    <comment ref="F38" authorId="0" shapeId="0" xr:uid="{8714448C-1B00-4C84-9B78-0D256A2037B8}">
      <text>
        <r>
          <rPr>
            <b/>
            <sz val="9"/>
            <color indexed="81"/>
            <rFont val="Tahoma"/>
            <charset val="1"/>
          </rPr>
          <t>saif:</t>
        </r>
        <r>
          <rPr>
            <sz val="9"/>
            <color indexed="81"/>
            <rFont val="Tahoma"/>
            <charset val="1"/>
          </rPr>
          <t xml:space="preserve">
aapas exp</t>
        </r>
      </text>
    </comment>
    <comment ref="J38" authorId="0" shapeId="0" xr:uid="{E54F4C30-4F33-4689-A53D-BEAA7C5DC9BD}">
      <text>
        <r>
          <rPr>
            <b/>
            <sz val="9"/>
            <color indexed="81"/>
            <rFont val="Tahoma"/>
            <charset val="1"/>
          </rPr>
          <t>saif:</t>
        </r>
        <r>
          <rPr>
            <sz val="9"/>
            <color indexed="81"/>
            <rFont val="Tahoma"/>
            <charset val="1"/>
          </rPr>
          <t xml:space="preserve">
shoes</t>
        </r>
      </text>
    </comment>
    <comment ref="K40" authorId="0" shapeId="0" xr:uid="{7E48AC6B-D761-4FB5-A978-697F4B738C33}">
      <text>
        <r>
          <rPr>
            <b/>
            <sz val="9"/>
            <color indexed="81"/>
            <rFont val="Tahoma"/>
            <charset val="1"/>
          </rPr>
          <t>saif:</t>
        </r>
        <r>
          <rPr>
            <sz val="9"/>
            <color indexed="81"/>
            <rFont val="Tahoma"/>
            <charset val="1"/>
          </rPr>
          <t xml:space="preserve">
fuel &amp; bus</t>
        </r>
      </text>
    </comment>
    <comment ref="I41" authorId="0" shapeId="0" xr:uid="{FC6FB2D9-EA47-4F99-BB6F-467EEABFA918}">
      <text>
        <r>
          <rPr>
            <b/>
            <sz val="9"/>
            <color indexed="81"/>
            <rFont val="Tahoma"/>
            <charset val="1"/>
          </rPr>
          <t>saif:</t>
        </r>
        <r>
          <rPr>
            <sz val="9"/>
            <color indexed="81"/>
            <rFont val="Tahoma"/>
            <charset val="1"/>
          </rPr>
          <t xml:space="preserve">
fish oil</t>
        </r>
      </text>
    </comment>
    <comment ref="I45" authorId="0" shapeId="0" xr:uid="{09345356-E47D-44FF-B6DC-5673FD35E5A7}">
      <text>
        <r>
          <rPr>
            <b/>
            <sz val="9"/>
            <color indexed="81"/>
            <rFont val="Tahoma"/>
            <charset val="1"/>
          </rPr>
          <t>saif:</t>
        </r>
        <r>
          <rPr>
            <sz val="9"/>
            <color indexed="81"/>
            <rFont val="Tahoma"/>
            <charset val="1"/>
          </rPr>
          <t xml:space="preserve">
haircare</t>
        </r>
      </text>
    </comment>
    <comment ref="G49" authorId="0" shapeId="0" xr:uid="{A7D7F6E2-0A25-4C46-82A8-D252BF17AE31}">
      <text>
        <r>
          <rPr>
            <b/>
            <sz val="9"/>
            <color indexed="81"/>
            <rFont val="Tahoma"/>
            <charset val="1"/>
          </rPr>
          <t>saif:</t>
        </r>
        <r>
          <rPr>
            <sz val="9"/>
            <color indexed="81"/>
            <rFont val="Tahoma"/>
            <charset val="1"/>
          </rPr>
          <t xml:space="preserve">
zepto</t>
        </r>
      </text>
    </comment>
    <comment ref="J51" authorId="0" shapeId="0" xr:uid="{0B90B4C6-ABC8-4E6B-A78C-A9ED26D1EBA6}">
      <text>
        <r>
          <rPr>
            <b/>
            <sz val="9"/>
            <color indexed="81"/>
            <rFont val="Tahoma"/>
            <charset val="1"/>
          </rPr>
          <t>saif:</t>
        </r>
        <r>
          <rPr>
            <sz val="9"/>
            <color indexed="81"/>
            <rFont val="Tahoma"/>
            <charset val="1"/>
          </rPr>
          <t xml:space="preserve">
perfume</t>
        </r>
      </text>
    </comment>
    <comment ref="D54" authorId="0" shapeId="0" xr:uid="{381BDAEE-4BFA-478B-BE53-483A627EEFE2}">
      <text>
        <r>
          <rPr>
            <b/>
            <sz val="9"/>
            <color indexed="81"/>
            <rFont val="Tahoma"/>
            <charset val="1"/>
          </rPr>
          <t>saif:</t>
        </r>
        <r>
          <rPr>
            <sz val="9"/>
            <color indexed="81"/>
            <rFont val="Tahoma"/>
            <charset val="1"/>
          </rPr>
          <t xml:space="preserve">
spotify</t>
        </r>
      </text>
    </comment>
    <comment ref="I55" authorId="0" shapeId="0" xr:uid="{026C12A7-A90C-427B-98FF-66CF0CD93528}">
      <text>
        <r>
          <rPr>
            <b/>
            <sz val="9"/>
            <color indexed="81"/>
            <rFont val="Tahoma"/>
            <charset val="1"/>
          </rPr>
          <t>saif:</t>
        </r>
        <r>
          <rPr>
            <sz val="9"/>
            <color indexed="81"/>
            <rFont val="Tahoma"/>
            <charset val="1"/>
          </rPr>
          <t xml:space="preserve">
dry fruits</t>
        </r>
      </text>
    </comment>
    <comment ref="G58" authorId="0" shapeId="0" xr:uid="{57F96826-717F-42E2-AA79-088A9FECFA09}">
      <text>
        <r>
          <rPr>
            <b/>
            <sz val="9"/>
            <color indexed="81"/>
            <rFont val="Tahoma"/>
            <charset val="1"/>
          </rPr>
          <t>saif:</t>
        </r>
        <r>
          <rPr>
            <sz val="9"/>
            <color indexed="81"/>
            <rFont val="Tahoma"/>
            <charset val="1"/>
          </rPr>
          <t xml:space="preserve">
zepto</t>
        </r>
      </text>
    </comment>
  </commentList>
</comments>
</file>

<file path=xl/sharedStrings.xml><?xml version="1.0" encoding="utf-8"?>
<sst xmlns="http://schemas.openxmlformats.org/spreadsheetml/2006/main" count="32" uniqueCount="29">
  <si>
    <t>DATE</t>
  </si>
  <si>
    <t>SUBSCRIPTIONS</t>
  </si>
  <si>
    <t>ACCESSORIES</t>
  </si>
  <si>
    <t>GOOD WILL</t>
  </si>
  <si>
    <t>FOOD</t>
  </si>
  <si>
    <t>INVESTMENTS</t>
  </si>
  <si>
    <t>HEALTH &amp; FITNESS</t>
  </si>
  <si>
    <t>LIFESTYLE</t>
  </si>
  <si>
    <t>TRANSPORTATION</t>
  </si>
  <si>
    <t>OTHER EXPENSES</t>
  </si>
  <si>
    <t>ECOM</t>
  </si>
  <si>
    <t>ENTERTAINMENT</t>
  </si>
  <si>
    <t>Metric</t>
  </si>
  <si>
    <t>Description</t>
  </si>
  <si>
    <t>Value</t>
  </si>
  <si>
    <t>Total Income</t>
  </si>
  <si>
    <t>Category</t>
  </si>
  <si>
    <t>Amount</t>
  </si>
  <si>
    <t>Income</t>
  </si>
  <si>
    <t>Expense</t>
  </si>
  <si>
    <t>Sum of all income</t>
  </si>
  <si>
    <t>Total Expense</t>
  </si>
  <si>
    <t>Sum of all expenses</t>
  </si>
  <si>
    <t>Average Expense</t>
  </si>
  <si>
    <t>Daily average expense</t>
  </si>
  <si>
    <t>Max Income</t>
  </si>
  <si>
    <t>Highest income event</t>
  </si>
  <si>
    <t>Min Expense</t>
  </si>
  <si>
    <t>Lowest expense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</si>
</sst>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F800]dddd\,\ mmmm\ dd\,\ yyyy"/>
    <numFmt numFmtId="166" formatCode="\$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4444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6" fillId="3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6" fillId="3" borderId="0" xfId="3" applyNumberFormat="1" applyBorder="1" applyAlignment="1">
      <alignment horizontal="center" vertical="center"/>
    </xf>
    <xf numFmtId="164" fontId="6" fillId="3" borderId="0" xfId="3" applyNumberFormat="1" applyBorder="1" applyAlignment="1">
      <alignment horizontal="center" vertical="center"/>
    </xf>
    <xf numFmtId="0" fontId="4" fillId="2" borderId="0" xfId="2" applyBorder="1" applyAlignment="1">
      <alignment horizontal="center" vertical="center"/>
    </xf>
    <xf numFmtId="0" fontId="4" fillId="2" borderId="0" xfId="2"/>
    <xf numFmtId="14" fontId="4" fillId="2" borderId="0" xfId="2" applyNumberFormat="1" applyAlignment="1">
      <alignment horizontal="center"/>
    </xf>
    <xf numFmtId="44" fontId="6" fillId="3" borderId="0" xfId="1" applyFont="1" applyFill="1" applyBorder="1" applyAlignment="1">
      <alignment horizontal="center" vertical="center"/>
    </xf>
    <xf numFmtId="44" fontId="6" fillId="3" borderId="1" xfId="1" applyFont="1" applyFill="1" applyBorder="1" applyAlignment="1">
      <alignment horizontal="center" vertical="center"/>
    </xf>
    <xf numFmtId="44" fontId="0" fillId="0" borderId="0" xfId="1" applyFont="1"/>
    <xf numFmtId="44" fontId="1" fillId="0" borderId="0" xfId="1" applyFont="1"/>
    <xf numFmtId="3" fontId="0" fillId="4" borderId="0" xfId="0" applyNumberFormat="1" applyFill="1"/>
    <xf numFmtId="164" fontId="0" fillId="5" borderId="0" xfId="0" applyNumberFormat="1" applyFill="1" applyAlignment="1">
      <alignment horizontal="center"/>
    </xf>
    <xf numFmtId="0" fontId="5" fillId="2" borderId="0" xfId="2" applyFont="1"/>
    <xf numFmtId="0" fontId="5" fillId="0" borderId="0" xfId="0" applyFont="1"/>
    <xf numFmtId="44" fontId="5" fillId="0" borderId="0" xfId="1" applyFont="1"/>
    <xf numFmtId="44" fontId="6" fillId="6" borderId="0" xfId="1" applyFont="1" applyFill="1"/>
    <xf numFmtId="15" fontId="0" fillId="0" borderId="0" xfId="1" applyNumberFormat="1" applyFont="1"/>
    <xf numFmtId="0" fontId="1" fillId="7" borderId="0" xfId="0" applyFont="1" applyFill="1" applyAlignment="1">
      <alignment horizontal="center"/>
    </xf>
    <xf numFmtId="44" fontId="0" fillId="0" borderId="0" xfId="0" applyNumberFormat="1"/>
    <xf numFmtId="0" fontId="11" fillId="8" borderId="4" xfId="0" applyFont="1" applyFill="1" applyBorder="1"/>
    <xf numFmtId="0" fontId="0" fillId="0" borderId="2" xfId="0" applyBorder="1"/>
    <xf numFmtId="0" fontId="0" fillId="0" borderId="4" xfId="0" applyBorder="1"/>
    <xf numFmtId="0" fontId="11" fillId="8" borderId="5" xfId="0" applyFont="1" applyFill="1" applyBorder="1"/>
    <xf numFmtId="166" fontId="0" fillId="0" borderId="3" xfId="0" applyNumberFormat="1" applyBorder="1"/>
    <xf numFmtId="166" fontId="0" fillId="0" borderId="5" xfId="0" applyNumberFormat="1" applyBorder="1"/>
  </cellXfs>
  <cellStyles count="4">
    <cellStyle name="Accent1" xfId="3" builtinId="29"/>
    <cellStyle name="Currency" xfId="1" builtinId="4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1:C7">
  <autoFilter ref="A1:C7" xr:uid="{00000000-0009-0000-0100-000001000000}"/>
  <tableColumns count="3">
    <tableColumn id="1" xr3:uid="{00000000-0010-0000-0000-000001000000}" name="Metric"/>
    <tableColumn id="2" xr3:uid="{00000000-0010-0000-0000-000002000000}" name="Description"/>
    <tableColumn id="3" xr3:uid="{00000000-0010-0000-0000-000003000000}" name="Value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F744-2F2F-4821-944F-BB1B154BE82E}">
  <dimension ref="A1:O1048576"/>
  <sheetViews>
    <sheetView tabSelected="1" topLeftCell="C1" workbookViewId="0">
      <pane ySplit="1" topLeftCell="A2" activePane="bottomLeft" state="frozen"/>
      <selection activeCell="C1" sqref="C1"/>
      <selection pane="bottomLeft" activeCell="K57" sqref="K57"/>
    </sheetView>
  </sheetViews>
  <sheetFormatPr defaultRowHeight="14.4" x14ac:dyDescent="0.3"/>
  <cols>
    <col min="1" max="1" width="19.21875" style="7" customWidth="1"/>
    <col min="2" max="2" width="18.5546875" customWidth="1"/>
    <col min="3" max="3" width="11.77734375" style="3" customWidth="1"/>
    <col min="4" max="4" width="14.33203125" style="11" customWidth="1"/>
    <col min="5" max="5" width="12.44140625" style="11" customWidth="1"/>
    <col min="6" max="6" width="11" style="11" customWidth="1"/>
    <col min="7" max="7" width="12.33203125" style="11" customWidth="1"/>
    <col min="8" max="8" width="14.109375" style="11" customWidth="1"/>
    <col min="9" max="9" width="16.6640625" style="11" customWidth="1"/>
    <col min="10" max="10" width="11.6640625" style="11" customWidth="1"/>
    <col min="11" max="12" width="16" style="11" customWidth="1"/>
    <col min="13" max="13" width="17" style="11" customWidth="1"/>
    <col min="14" max="14" width="14.88671875" style="11" customWidth="1"/>
    <col min="15" max="15" width="14.88671875" customWidth="1"/>
  </cols>
  <sheetData>
    <row r="1" spans="1:14" x14ac:dyDescent="0.3">
      <c r="A1" s="6" t="s">
        <v>16</v>
      </c>
      <c r="B1" s="4" t="s">
        <v>17</v>
      </c>
      <c r="C1" s="5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10" t="s">
        <v>9</v>
      </c>
      <c r="M1" s="18" t="s">
        <v>10</v>
      </c>
      <c r="N1" s="18" t="s">
        <v>11</v>
      </c>
    </row>
    <row r="2" spans="1:14" x14ac:dyDescent="0.3">
      <c r="A2" s="7" t="s">
        <v>18</v>
      </c>
      <c r="B2">
        <v>20000</v>
      </c>
    </row>
    <row r="3" spans="1:14" x14ac:dyDescent="0.3">
      <c r="A3" s="8" t="s">
        <v>18</v>
      </c>
      <c r="B3" s="13">
        <v>24300</v>
      </c>
      <c r="C3" s="14">
        <v>46204</v>
      </c>
      <c r="D3" s="11">
        <v>4360</v>
      </c>
    </row>
    <row r="4" spans="1:14" s="16" customFormat="1" x14ac:dyDescent="0.3">
      <c r="A4" s="15" t="s">
        <v>19</v>
      </c>
      <c r="B4" s="16">
        <v>10000</v>
      </c>
      <c r="C4" s="14">
        <v>46205</v>
      </c>
      <c r="D4" s="11"/>
      <c r="E4" s="11">
        <v>630</v>
      </c>
      <c r="F4" s="11"/>
      <c r="G4" s="11"/>
      <c r="H4" s="11"/>
      <c r="I4" s="11"/>
      <c r="J4" s="11"/>
      <c r="K4" s="11"/>
      <c r="L4" s="11"/>
      <c r="M4" s="17"/>
      <c r="N4" s="17"/>
    </row>
    <row r="5" spans="1:14" x14ac:dyDescent="0.3">
      <c r="A5" s="7" t="s">
        <v>19</v>
      </c>
      <c r="B5">
        <v>11415</v>
      </c>
      <c r="C5" s="14">
        <v>46206</v>
      </c>
      <c r="D5" s="11">
        <v>600</v>
      </c>
      <c r="F5" s="11">
        <v>500</v>
      </c>
      <c r="G5" s="11">
        <v>300</v>
      </c>
      <c r="H5" s="11">
        <v>3000</v>
      </c>
    </row>
    <row r="6" spans="1:14" x14ac:dyDescent="0.3">
      <c r="A6" s="7" t="s">
        <v>19</v>
      </c>
      <c r="B6">
        <v>0</v>
      </c>
      <c r="C6" s="14">
        <v>46207</v>
      </c>
      <c r="J6" s="11">
        <v>5100</v>
      </c>
    </row>
    <row r="7" spans="1:14" x14ac:dyDescent="0.3">
      <c r="C7" s="14">
        <v>46208</v>
      </c>
      <c r="I7" s="11">
        <v>165</v>
      </c>
    </row>
    <row r="8" spans="1:14" x14ac:dyDescent="0.3">
      <c r="C8" s="14">
        <v>46209</v>
      </c>
      <c r="G8" s="11">
        <v>240</v>
      </c>
      <c r="I8" s="11">
        <v>230</v>
      </c>
    </row>
    <row r="9" spans="1:14" x14ac:dyDescent="0.3">
      <c r="C9" s="14">
        <v>46210</v>
      </c>
      <c r="K9" s="11">
        <v>180</v>
      </c>
    </row>
    <row r="10" spans="1:14" x14ac:dyDescent="0.3">
      <c r="C10" s="14">
        <v>46211</v>
      </c>
      <c r="E10" s="11">
        <v>320</v>
      </c>
      <c r="G10" s="11">
        <v>30</v>
      </c>
      <c r="I10" s="11">
        <v>330</v>
      </c>
      <c r="L10" s="11">
        <v>80</v>
      </c>
    </row>
    <row r="11" spans="1:14" x14ac:dyDescent="0.3">
      <c r="C11" s="14">
        <v>46212</v>
      </c>
      <c r="G11" s="11">
        <v>260</v>
      </c>
      <c r="H11" s="11">
        <v>1450</v>
      </c>
    </row>
    <row r="12" spans="1:14" x14ac:dyDescent="0.3">
      <c r="C12" s="14">
        <v>46213</v>
      </c>
    </row>
    <row r="13" spans="1:14" x14ac:dyDescent="0.3">
      <c r="C13" s="14">
        <v>46214</v>
      </c>
      <c r="J13" s="11">
        <v>1700</v>
      </c>
    </row>
    <row r="14" spans="1:14" x14ac:dyDescent="0.3">
      <c r="C14" s="14">
        <v>46215</v>
      </c>
      <c r="G14" s="11">
        <v>360</v>
      </c>
    </row>
    <row r="15" spans="1:14" x14ac:dyDescent="0.3">
      <c r="C15" s="14">
        <v>46216</v>
      </c>
      <c r="M15" s="12"/>
    </row>
    <row r="16" spans="1:14" x14ac:dyDescent="0.3">
      <c r="C16" s="14">
        <v>46217</v>
      </c>
      <c r="G16" s="11">
        <v>250</v>
      </c>
      <c r="I16" s="11">
        <v>330</v>
      </c>
    </row>
    <row r="17" spans="3:14" x14ac:dyDescent="0.3">
      <c r="C17" s="14">
        <v>46218</v>
      </c>
    </row>
    <row r="18" spans="3:14" x14ac:dyDescent="0.3">
      <c r="C18" s="14">
        <v>46219</v>
      </c>
    </row>
    <row r="19" spans="3:14" x14ac:dyDescent="0.3">
      <c r="C19" s="14">
        <v>46220</v>
      </c>
      <c r="D19" s="11">
        <v>1299</v>
      </c>
      <c r="K19" s="11">
        <v>44</v>
      </c>
      <c r="L19" s="11">
        <v>180</v>
      </c>
      <c r="M19" s="11">
        <v>342</v>
      </c>
    </row>
    <row r="20" spans="3:14" x14ac:dyDescent="0.3">
      <c r="C20" s="14">
        <v>46221</v>
      </c>
    </row>
    <row r="21" spans="3:14" x14ac:dyDescent="0.3">
      <c r="C21" s="14">
        <v>46222</v>
      </c>
      <c r="M21" s="11">
        <v>404</v>
      </c>
    </row>
    <row r="22" spans="3:14" x14ac:dyDescent="0.3">
      <c r="C22" s="14">
        <v>46223</v>
      </c>
      <c r="F22" s="11">
        <v>500</v>
      </c>
      <c r="L22" s="11">
        <v>70</v>
      </c>
      <c r="N22" s="11">
        <v>250</v>
      </c>
    </row>
    <row r="23" spans="3:14" x14ac:dyDescent="0.3">
      <c r="C23" s="14">
        <v>46224</v>
      </c>
      <c r="G23" s="11">
        <v>485</v>
      </c>
      <c r="L23" s="11">
        <v>1045</v>
      </c>
    </row>
    <row r="24" spans="3:14" x14ac:dyDescent="0.3">
      <c r="C24" s="14">
        <v>46225</v>
      </c>
      <c r="G24" s="11">
        <v>100</v>
      </c>
      <c r="N24"/>
    </row>
    <row r="25" spans="3:14" x14ac:dyDescent="0.3">
      <c r="C25" s="14">
        <v>46226</v>
      </c>
      <c r="G25" s="11">
        <v>500</v>
      </c>
      <c r="I25" s="11">
        <v>168</v>
      </c>
      <c r="N25"/>
    </row>
    <row r="26" spans="3:14" x14ac:dyDescent="0.3">
      <c r="C26" s="14">
        <v>46227</v>
      </c>
      <c r="N26"/>
    </row>
    <row r="27" spans="3:14" x14ac:dyDescent="0.3">
      <c r="C27" s="14">
        <v>46228</v>
      </c>
      <c r="D27" s="11">
        <v>99</v>
      </c>
      <c r="E27" s="11">
        <v>300</v>
      </c>
      <c r="G27" s="11">
        <v>517</v>
      </c>
      <c r="L27" s="11">
        <v>90</v>
      </c>
      <c r="N27"/>
    </row>
    <row r="28" spans="3:14" x14ac:dyDescent="0.3">
      <c r="C28" s="14">
        <v>46229</v>
      </c>
      <c r="D28" s="11">
        <v>4000</v>
      </c>
      <c r="G28" s="11">
        <v>300</v>
      </c>
      <c r="N28"/>
    </row>
    <row r="29" spans="3:14" x14ac:dyDescent="0.3">
      <c r="C29" s="14">
        <v>46230</v>
      </c>
      <c r="N29"/>
    </row>
    <row r="30" spans="3:14" x14ac:dyDescent="0.3">
      <c r="C30" s="14">
        <v>46231</v>
      </c>
    </row>
    <row r="31" spans="3:14" x14ac:dyDescent="0.3">
      <c r="C31" s="14">
        <v>46232</v>
      </c>
    </row>
    <row r="32" spans="3:14" x14ac:dyDescent="0.3">
      <c r="C32" s="14">
        <v>46233</v>
      </c>
    </row>
    <row r="33" spans="3:15" x14ac:dyDescent="0.3">
      <c r="C33" s="14">
        <v>46234</v>
      </c>
    </row>
    <row r="35" spans="3:15" x14ac:dyDescent="0.3">
      <c r="D35" s="12">
        <f>SUM(D3:D34)</f>
        <v>10358</v>
      </c>
      <c r="E35" s="12">
        <f>SUM(E4:E34)</f>
        <v>1250</v>
      </c>
      <c r="F35" s="12">
        <f t="shared" ref="F35:L35" si="0">SUM(F4:F34)</f>
        <v>1000</v>
      </c>
      <c r="G35" s="12">
        <f>SUM(G4:G34)</f>
        <v>3342</v>
      </c>
      <c r="H35" s="12">
        <f t="shared" si="0"/>
        <v>4450</v>
      </c>
      <c r="I35" s="12">
        <f t="shared" si="0"/>
        <v>1223</v>
      </c>
      <c r="J35" s="12">
        <f t="shared" si="0"/>
        <v>6800</v>
      </c>
      <c r="K35" s="12">
        <f t="shared" si="0"/>
        <v>224</v>
      </c>
      <c r="L35" s="12">
        <f t="shared" si="0"/>
        <v>1465</v>
      </c>
      <c r="M35" s="12">
        <f ca="1">SUM(M17:M35)</f>
        <v>746</v>
      </c>
      <c r="O35" s="11">
        <v>21415</v>
      </c>
    </row>
    <row r="36" spans="3:15" x14ac:dyDescent="0.3">
      <c r="C36" s="11"/>
      <c r="D36"/>
      <c r="E36"/>
      <c r="F36"/>
      <c r="G36"/>
      <c r="H36"/>
      <c r="I36"/>
      <c r="J36"/>
      <c r="K36"/>
      <c r="L36"/>
      <c r="M36"/>
      <c r="N36"/>
    </row>
    <row r="37" spans="3:15" x14ac:dyDescent="0.3">
      <c r="C37" s="19">
        <v>46235</v>
      </c>
      <c r="E37" s="11">
        <v>410</v>
      </c>
      <c r="F37" s="11">
        <v>3000</v>
      </c>
      <c r="K37" s="11">
        <v>50</v>
      </c>
      <c r="N37"/>
    </row>
    <row r="38" spans="3:15" x14ac:dyDescent="0.3">
      <c r="C38" s="19">
        <v>46236</v>
      </c>
      <c r="F38" s="11">
        <v>920</v>
      </c>
      <c r="J38" s="11">
        <v>2750</v>
      </c>
      <c r="K38" s="11">
        <v>180</v>
      </c>
      <c r="L38" s="11">
        <v>640</v>
      </c>
    </row>
    <row r="39" spans="3:15" x14ac:dyDescent="0.3">
      <c r="C39" s="19">
        <v>46237</v>
      </c>
    </row>
    <row r="40" spans="3:15" x14ac:dyDescent="0.3">
      <c r="C40" s="19">
        <v>46238</v>
      </c>
      <c r="G40" s="11">
        <v>70</v>
      </c>
      <c r="I40" s="11">
        <v>720</v>
      </c>
      <c r="K40" s="11">
        <v>3100</v>
      </c>
    </row>
    <row r="41" spans="3:15" x14ac:dyDescent="0.3">
      <c r="C41" s="19">
        <v>46239</v>
      </c>
      <c r="F41" s="11">
        <v>4000</v>
      </c>
      <c r="G41" s="11">
        <v>183</v>
      </c>
      <c r="I41" s="11">
        <v>398</v>
      </c>
      <c r="K41" s="11">
        <v>82</v>
      </c>
    </row>
    <row r="42" spans="3:15" x14ac:dyDescent="0.3">
      <c r="C42" s="19">
        <v>46240</v>
      </c>
      <c r="E42" s="11">
        <v>211</v>
      </c>
      <c r="G42" s="11">
        <v>248</v>
      </c>
      <c r="K42" s="11">
        <v>281</v>
      </c>
      <c r="L42" s="11">
        <v>200</v>
      </c>
    </row>
    <row r="43" spans="3:15" x14ac:dyDescent="0.3">
      <c r="C43" s="19">
        <v>46241</v>
      </c>
      <c r="E43" s="11">
        <v>2854</v>
      </c>
      <c r="G43" s="11">
        <v>180</v>
      </c>
      <c r="I43" s="11">
        <v>168</v>
      </c>
      <c r="K43" s="11">
        <v>60</v>
      </c>
    </row>
    <row r="44" spans="3:15" x14ac:dyDescent="0.3">
      <c r="C44" s="19">
        <v>46242</v>
      </c>
      <c r="L44" s="11">
        <v>100</v>
      </c>
      <c r="N44" s="11">
        <v>296</v>
      </c>
    </row>
    <row r="45" spans="3:15" x14ac:dyDescent="0.3">
      <c r="C45" s="19">
        <v>46243</v>
      </c>
      <c r="I45" s="11">
        <v>893</v>
      </c>
    </row>
    <row r="46" spans="3:15" x14ac:dyDescent="0.3">
      <c r="C46" s="19">
        <v>46244</v>
      </c>
      <c r="G46" s="11">
        <v>150</v>
      </c>
      <c r="K46" s="11">
        <v>60</v>
      </c>
    </row>
    <row r="47" spans="3:15" x14ac:dyDescent="0.3">
      <c r="C47" s="19">
        <v>46245</v>
      </c>
      <c r="E47" s="11">
        <v>4300</v>
      </c>
      <c r="G47" s="11">
        <v>110</v>
      </c>
      <c r="K47" s="11">
        <v>100</v>
      </c>
    </row>
    <row r="48" spans="3:15" x14ac:dyDescent="0.3">
      <c r="C48" s="19">
        <v>46246</v>
      </c>
      <c r="K48" s="11">
        <v>90</v>
      </c>
    </row>
    <row r="49" spans="3:12" x14ac:dyDescent="0.3">
      <c r="C49" s="19">
        <v>46247</v>
      </c>
      <c r="G49" s="11">
        <v>178</v>
      </c>
      <c r="I49" s="11">
        <v>168</v>
      </c>
      <c r="L49" s="11">
        <v>180</v>
      </c>
    </row>
    <row r="50" spans="3:12" x14ac:dyDescent="0.3">
      <c r="C50" s="19">
        <v>46248</v>
      </c>
      <c r="G50" s="11">
        <v>140</v>
      </c>
      <c r="K50" s="11">
        <v>610</v>
      </c>
    </row>
    <row r="51" spans="3:12" x14ac:dyDescent="0.3">
      <c r="C51" s="19">
        <v>46249</v>
      </c>
      <c r="G51" s="11">
        <v>445</v>
      </c>
      <c r="J51" s="11">
        <v>600</v>
      </c>
    </row>
    <row r="52" spans="3:12" x14ac:dyDescent="0.3">
      <c r="C52" s="19">
        <v>46250</v>
      </c>
      <c r="G52" s="11">
        <v>520</v>
      </c>
    </row>
    <row r="53" spans="3:12" x14ac:dyDescent="0.3">
      <c r="C53" s="19">
        <v>46251</v>
      </c>
      <c r="I53"/>
      <c r="J53"/>
      <c r="K53"/>
      <c r="L53"/>
    </row>
    <row r="54" spans="3:12" x14ac:dyDescent="0.3">
      <c r="C54" s="19">
        <v>46252</v>
      </c>
      <c r="D54" s="11">
        <v>139</v>
      </c>
      <c r="G54" s="11">
        <v>70</v>
      </c>
      <c r="I54">
        <v>168</v>
      </c>
      <c r="J54"/>
      <c r="K54"/>
      <c r="L54"/>
    </row>
    <row r="55" spans="3:12" x14ac:dyDescent="0.3">
      <c r="C55" s="19">
        <v>46253</v>
      </c>
      <c r="G55" s="11">
        <v>300</v>
      </c>
      <c r="I55" s="11">
        <v>1060</v>
      </c>
      <c r="J55" s="20"/>
      <c r="K55"/>
      <c r="L55"/>
    </row>
    <row r="56" spans="3:12" x14ac:dyDescent="0.3">
      <c r="C56" s="19">
        <v>46254</v>
      </c>
      <c r="G56" s="11">
        <v>390</v>
      </c>
      <c r="I56"/>
      <c r="J56" s="2"/>
      <c r="K56">
        <v>162</v>
      </c>
      <c r="L56"/>
    </row>
    <row r="57" spans="3:12" x14ac:dyDescent="0.3">
      <c r="C57" s="19">
        <v>46255</v>
      </c>
      <c r="G57" s="11">
        <v>130</v>
      </c>
      <c r="I57">
        <v>168</v>
      </c>
      <c r="J57" s="1"/>
      <c r="K57"/>
      <c r="L57"/>
    </row>
    <row r="58" spans="3:12" x14ac:dyDescent="0.3">
      <c r="C58" s="19">
        <v>46256</v>
      </c>
      <c r="G58" s="11">
        <v>390</v>
      </c>
      <c r="I58"/>
      <c r="J58" s="1"/>
      <c r="K58"/>
      <c r="L58"/>
    </row>
    <row r="59" spans="3:12" x14ac:dyDescent="0.3">
      <c r="C59" s="19">
        <v>46257</v>
      </c>
      <c r="I59" s="1"/>
      <c r="J59"/>
      <c r="K59"/>
      <c r="L59"/>
    </row>
    <row r="60" spans="3:12" x14ac:dyDescent="0.3">
      <c r="C60" s="19">
        <v>46258</v>
      </c>
      <c r="I60" s="1"/>
      <c r="J60"/>
      <c r="K60"/>
      <c r="L60"/>
    </row>
    <row r="61" spans="3:12" x14ac:dyDescent="0.3">
      <c r="C61" s="19">
        <v>46259</v>
      </c>
      <c r="I61" s="1"/>
      <c r="J61"/>
      <c r="K61"/>
      <c r="L61"/>
    </row>
    <row r="62" spans="3:12" x14ac:dyDescent="0.3">
      <c r="C62" s="19">
        <v>46260</v>
      </c>
      <c r="I62" s="1"/>
      <c r="J62"/>
      <c r="K62"/>
      <c r="L62"/>
    </row>
    <row r="63" spans="3:12" x14ac:dyDescent="0.3">
      <c r="C63" s="19">
        <v>46261</v>
      </c>
      <c r="I63" s="1"/>
      <c r="J63"/>
      <c r="K63"/>
      <c r="L63"/>
    </row>
    <row r="64" spans="3:12" x14ac:dyDescent="0.3">
      <c r="C64" s="19">
        <v>46262</v>
      </c>
      <c r="I64" s="1"/>
      <c r="J64"/>
      <c r="K64"/>
      <c r="L64"/>
    </row>
    <row r="65" spans="3:12" x14ac:dyDescent="0.3">
      <c r="C65" s="19">
        <v>46263</v>
      </c>
      <c r="I65"/>
      <c r="J65" s="1"/>
      <c r="K65"/>
      <c r="L65"/>
    </row>
    <row r="66" spans="3:12" x14ac:dyDescent="0.3">
      <c r="C66" s="19">
        <v>46264</v>
      </c>
      <c r="I66"/>
      <c r="J66" s="1"/>
      <c r="K66"/>
      <c r="L66"/>
    </row>
    <row r="67" spans="3:12" x14ac:dyDescent="0.3">
      <c r="C67" s="19">
        <v>46265</v>
      </c>
      <c r="I67"/>
      <c r="J67" s="1"/>
      <c r="K67"/>
      <c r="L67"/>
    </row>
    <row r="1048576" spans="4:4" x14ac:dyDescent="0.3">
      <c r="D1048576" s="11">
        <f>SUM(D3:D1048575)</f>
        <v>20855</v>
      </c>
    </row>
  </sheetData>
  <phoneticPr fontId="2" type="noConversion"/>
  <conditionalFormatting sqref="D3:L35">
    <cfRule type="colorScale" priority="8">
      <colorScale>
        <cfvo type="min"/>
        <cfvo type="max"/>
        <color theme="9" tint="0.39997558519241921"/>
        <color rgb="FFFF0000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6:J58 J65:J67 I59:I64">
    <cfRule type="colorScale" priority="10">
      <colorScale>
        <cfvo type="min"/>
        <cfvo type="max"/>
        <color theme="9" tint="0.39997558519241921"/>
        <color rgb="FFFF0000"/>
      </colorScale>
    </cfRule>
  </conditionalFormatting>
  <conditionalFormatting sqref="M2:M31">
    <cfRule type="colorScale" priority="5">
      <colorScale>
        <cfvo type="min"/>
        <cfvo type="max"/>
        <color theme="9"/>
        <color rgb="FFFF0000"/>
      </colorScale>
    </cfRule>
    <cfRule type="colorScale" priority="6">
      <colorScale>
        <cfvo type="min"/>
        <cfvo type="max"/>
        <color theme="9" tint="0.59999389629810485"/>
        <color rgb="FFFF0000"/>
      </colorScale>
    </cfRule>
  </conditionalFormatting>
  <conditionalFormatting sqref="M2:M3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35">
    <cfRule type="colorScale" priority="1">
      <colorScale>
        <cfvo type="min"/>
        <cfvo type="max"/>
        <color theme="9"/>
        <color rgb="FFFF000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cols>
    <col min="3" max="3" width="10" bestFit="1" customWidth="1"/>
  </cols>
  <sheetData>
    <row r="1" spans="1:3" x14ac:dyDescent="0.3">
      <c r="A1" s="22" t="s">
        <v>12</v>
      </c>
      <c r="B1" s="22" t="s">
        <v>13</v>
      </c>
      <c r="C1" s="25" t="s">
        <v>14</v>
      </c>
    </row>
    <row r="2" spans="1:3" x14ac:dyDescent="0.3">
      <c r="A2" s="24" t="s">
        <v>15</v>
      </c>
      <c r="B2" s="24" t="s">
        <v>20</v>
      </c>
      <c r="C2" s="27">
        <f>SUM(Sheet1!B2:B3)</f>
        <v>44300</v>
      </c>
    </row>
    <row r="3" spans="1:3" x14ac:dyDescent="0.3">
      <c r="A3" s="24" t="s">
        <v>21</v>
      </c>
      <c r="B3" s="24" t="s">
        <v>22</v>
      </c>
      <c r="C3" s="27">
        <f>SUM(Sheet1!B4:B6)</f>
        <v>21415</v>
      </c>
    </row>
    <row r="4" spans="1:3" x14ac:dyDescent="0.3">
      <c r="A4" s="24" t="s">
        <v>23</v>
      </c>
      <c r="B4" s="24" t="s">
        <v>24</v>
      </c>
      <c r="C4" s="27">
        <f>AVERAGE(Sheet1!B4:B6)</f>
        <v>7138.333333333333</v>
      </c>
    </row>
    <row r="5" spans="1:3" x14ac:dyDescent="0.3">
      <c r="A5" s="24" t="s">
        <v>25</v>
      </c>
      <c r="B5" s="24" t="s">
        <v>26</v>
      </c>
      <c r="C5" s="27">
        <f>MAX(Sheet1!B2:B3)</f>
        <v>24300</v>
      </c>
    </row>
    <row r="6" spans="1:3" x14ac:dyDescent="0.3">
      <c r="A6" s="23" t="s">
        <v>27</v>
      </c>
      <c r="B6" s="23" t="s">
        <v>28</v>
      </c>
      <c r="C6" s="26">
        <f>MIN(Sheet1!B4:B6)</f>
        <v>0</v>
      </c>
    </row>
    <row r="7" spans="1:3" x14ac:dyDescent="0.3">
      <c r="C7" s="2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Executive_Summary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.</dc:creator>
  <cp:lastModifiedBy>SAIF .</cp:lastModifiedBy>
  <dcterms:created xsi:type="dcterms:W3CDTF">2026-07-02T16:50:55Z</dcterms:created>
  <dcterms:modified xsi:type="dcterms:W3CDTF">2026-08-24T16:41:05Z</dcterms:modified>
</cp:coreProperties>
</file>